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dept\INE_Fileserver_Narbonne\Lehre\BSC\SG_WI\05 WVK_IVEST\Vorlesung 2026\Woche 9\"/>
    </mc:Choice>
  </mc:AlternateContent>
  <xr:revisionPtr revIDLastSave="0" documentId="13_ncr:1_{5274440A-8D35-4B32-9AFC-ED158712E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F11" i="1"/>
  <c r="F12" i="1" s="1"/>
  <c r="F14" i="1" s="1"/>
  <c r="F8" i="1"/>
  <c r="F7" i="1"/>
  <c r="C8" i="1"/>
  <c r="C7" i="1"/>
  <c r="C11" i="1"/>
  <c r="C12" i="1" s="1"/>
  <c r="C14" i="1" s="1"/>
</calcChain>
</file>

<file path=xl/sharedStrings.xml><?xml version="1.0" encoding="utf-8"?>
<sst xmlns="http://schemas.openxmlformats.org/spreadsheetml/2006/main" count="25" uniqueCount="15">
  <si>
    <t>WACC nominal</t>
  </si>
  <si>
    <t>Inflation</t>
  </si>
  <si>
    <t>WACC real</t>
  </si>
  <si>
    <t>Strompreis (CHF/MWh)</t>
  </si>
  <si>
    <t>NPV</t>
  </si>
  <si>
    <t>Netto Investitionskosten</t>
  </si>
  <si>
    <t>Szenario Strompreis 57 CHF/MWh</t>
  </si>
  <si>
    <t>RBF 30 Jahre, 3.15%</t>
  </si>
  <si>
    <t>Szenario Strompreis 50 CHF/MWh</t>
  </si>
  <si>
    <t>Stromproduktion (MWh)</t>
  </si>
  <si>
    <t>B&amp;I-Kosten  (CHF/Jahr)</t>
  </si>
  <si>
    <t>Förderbeitrag (CHF)</t>
  </si>
  <si>
    <t>Investitionskosten CHF)</t>
  </si>
  <si>
    <t>Einnahmen Stromverkauf (CHF/Jahr)</t>
  </si>
  <si>
    <t>Operativer Cashflow  (CHF/Jahr)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</si>
</sst>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169793</xdr:colOff>
      <xdr:row>1</xdr:row>
      <xdr:rowOff>182218</xdr:rowOff>
    </xdr:from>
    <xdr:to>
      <xdr:col>13</xdr:col>
      <xdr:colOff>594852</xdr:colOff>
      <xdr:row>20</xdr:row>
      <xdr:rowOff>87548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BCA13A8-4E53-6E05-D600-53D0E43C3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7467" y="753718"/>
          <a:ext cx="4102537" cy="3524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18"/>
  <sheetViews>
    <sheetView tabSelected="1" zoomScale="115" zoomScaleNormal="115" workbookViewId="0">
      <selection activeCell="E18" sqref="E18"/>
    </sheetView>
  </sheetViews>
  <sheetFormatPr baseColWidth="10" defaultColWidth="9.140625" defaultRowHeight="15" x14ac:dyDescent="0.25"/>
  <cols>
    <col min="2" max="2" width="33.7109375" bestFit="1" customWidth="1"/>
    <col min="3" max="3" width="13.85546875" customWidth="1"/>
    <col min="4" max="4" width="5.7109375" customWidth="1"/>
    <col min="5" max="5" width="33" customWidth="1"/>
    <col min="6" max="6" width="11.140625" bestFit="1" customWidth="1"/>
  </cols>
  <sheetData>
    <row r="4" spans="2:6" x14ac:dyDescent="0.25">
      <c r="B4" s="6" t="s">
        <v>6</v>
      </c>
      <c r="C4" s="6"/>
      <c r="E4" s="6" t="s">
        <v>8</v>
      </c>
      <c r="F4" s="6"/>
    </row>
    <row r="5" spans="2:6" x14ac:dyDescent="0.25">
      <c r="B5" t="s">
        <v>12</v>
      </c>
      <c r="C5" s="2">
        <v>23000000</v>
      </c>
      <c r="E5" t="s">
        <v>12</v>
      </c>
      <c r="F5" s="2">
        <v>23000000</v>
      </c>
    </row>
    <row r="6" spans="2:6" x14ac:dyDescent="0.25">
      <c r="B6" t="s">
        <v>11</v>
      </c>
      <c r="C6" s="2">
        <v>5757000</v>
      </c>
      <c r="E6" t="s">
        <v>11</v>
      </c>
      <c r="F6" s="2">
        <v>5757000</v>
      </c>
    </row>
    <row r="7" spans="2:6" x14ac:dyDescent="0.25">
      <c r="B7" s="3" t="s">
        <v>5</v>
      </c>
      <c r="C7" s="4">
        <f>C5-C6</f>
        <v>17243000</v>
      </c>
      <c r="E7" s="3" t="s">
        <v>5</v>
      </c>
      <c r="F7" s="4">
        <f>F5-F6</f>
        <v>17243000</v>
      </c>
    </row>
    <row r="8" spans="2:6" x14ac:dyDescent="0.25">
      <c r="B8" t="s">
        <v>10</v>
      </c>
      <c r="C8" s="2">
        <f>0.02*C5</f>
        <v>460000</v>
      </c>
      <c r="E8" t="s">
        <v>10</v>
      </c>
      <c r="F8" s="2">
        <f>0.02*F5</f>
        <v>460000</v>
      </c>
    </row>
    <row r="9" spans="2:6" x14ac:dyDescent="0.25">
      <c r="B9" t="s">
        <v>9</v>
      </c>
      <c r="C9" s="2">
        <v>26889</v>
      </c>
      <c r="E9" t="s">
        <v>9</v>
      </c>
      <c r="F9" s="2">
        <v>26889</v>
      </c>
    </row>
    <row r="10" spans="2:6" x14ac:dyDescent="0.25">
      <c r="B10" t="s">
        <v>3</v>
      </c>
      <c r="C10" s="2">
        <v>57</v>
      </c>
      <c r="E10" t="s">
        <v>3</v>
      </c>
      <c r="F10" s="2">
        <v>50</v>
      </c>
    </row>
    <row r="11" spans="2:6" x14ac:dyDescent="0.25">
      <c r="B11" t="s">
        <v>13</v>
      </c>
      <c r="C11" s="2">
        <f>C9*C10</f>
        <v>1532673</v>
      </c>
      <c r="E11" t="s">
        <v>13</v>
      </c>
      <c r="F11" s="2">
        <f>F9*F10</f>
        <v>1344450</v>
      </c>
    </row>
    <row r="12" spans="2:6" x14ac:dyDescent="0.25">
      <c r="B12" t="s">
        <v>14</v>
      </c>
      <c r="C12" s="2">
        <f>C11-C8</f>
        <v>1072673</v>
      </c>
      <c r="E12" t="s">
        <v>14</v>
      </c>
      <c r="F12" s="2">
        <f>F11-F8</f>
        <v>884450</v>
      </c>
    </row>
    <row r="13" spans="2:6" x14ac:dyDescent="0.25">
      <c r="B13" t="s">
        <v>7</v>
      </c>
      <c r="C13">
        <v>19.225999999999999</v>
      </c>
      <c r="E13" t="s">
        <v>7</v>
      </c>
      <c r="F13">
        <v>19.225999999999999</v>
      </c>
    </row>
    <row r="14" spans="2:6" x14ac:dyDescent="0.25">
      <c r="B14" s="3" t="s">
        <v>4</v>
      </c>
      <c r="C14" s="5">
        <f>(C13*C12)-C7</f>
        <v>3380211.0979999974</v>
      </c>
      <c r="E14" s="3" t="s">
        <v>4</v>
      </c>
      <c r="F14" s="5">
        <f>(F13*F12)-F7</f>
        <v>-238564.30000000075</v>
      </c>
    </row>
    <row r="16" spans="2:6" x14ac:dyDescent="0.25">
      <c r="B16" t="s">
        <v>0</v>
      </c>
      <c r="C16" s="1">
        <v>4.2799999999999998E-2</v>
      </c>
    </row>
    <row r="17" spans="2:3" x14ac:dyDescent="0.25">
      <c r="B17" t="s">
        <v>1</v>
      </c>
      <c r="C17" s="1">
        <v>1.0999999999999999E-2</v>
      </c>
    </row>
    <row r="18" spans="2:3" x14ac:dyDescent="0.25">
      <c r="B18" t="s">
        <v>2</v>
      </c>
      <c r="C18" s="1">
        <f>(1+C16)/(1+C17)-1</f>
        <v>3.1454005934718143E-2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Kammer Adrian (kama)</dc:creator>
  <cp:lastModifiedBy>Kammer Adrian (kama)</cp:lastModifiedBy>
  <dcterms:created xsi:type="dcterms:W3CDTF">2015-06-05T18:19:34Z</dcterms:created>
  <dcterms:modified xsi:type="dcterms:W3CDTF">2026-04-16T07:09:18Z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2026-04-14T13:21:27Z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83f4a384-8fdc-4ef1-b106-a2b34ac5c8ae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