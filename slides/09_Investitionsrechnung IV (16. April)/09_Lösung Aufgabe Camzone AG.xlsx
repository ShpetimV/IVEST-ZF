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ept\INE_Fileserver_Narbonne\Lehre\BSC\SG_WI\05 WVK_IVEST\Vorlesung 2026\Woche 9\"/>
    </mc:Choice>
  </mc:AlternateContent>
  <xr:revisionPtr revIDLastSave="0" documentId="13_ncr:1_{52269ABA-2CB3-46AE-9D65-35085835F024}" xr6:coauthVersionLast="47" xr6:coauthVersionMax="47" xr10:uidLastSave="{00000000-0000-0000-0000-000000000000}"/>
  <bookViews>
    <workbookView xWindow="-120" yWindow="-120" windowWidth="29040" windowHeight="15720" xr2:uid="{411E1A8B-8DF1-44DD-9CEA-4556FBDBAA13}"/>
  </bookViews>
  <sheets>
    <sheet name="Lösung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C18" i="5" s="1"/>
  <c r="B31" i="5"/>
  <c r="D12" i="5"/>
  <c r="C19" i="5" s="1"/>
  <c r="D3" i="5"/>
  <c r="B28" i="5" s="1"/>
  <c r="C20" i="5"/>
  <c r="B30" i="5"/>
  <c r="C21" i="5" l="1"/>
  <c r="B29" i="5" s="1"/>
  <c r="B32" i="5" s="1"/>
</calcChain>
</file>

<file path=xl/sharedStrings.xml><?xml version="1.0" encoding="utf-8"?>
<sst xmlns="http://schemas.openxmlformats.org/spreadsheetml/2006/main" count="29" uniqueCount="28">
  <si>
    <t>Initialschulung</t>
  </si>
  <si>
    <t>Nutzungsdauer (J)</t>
  </si>
  <si>
    <t>Liquidationserlös</t>
  </si>
  <si>
    <t>CHF</t>
  </si>
  <si>
    <t>Lieferantenofferten für Initialinvestitionen</t>
  </si>
  <si>
    <t>Installation/Umbau</t>
  </si>
  <si>
    <t>Geplanter Marktanteil</t>
  </si>
  <si>
    <t>Geplanter Verkaufspreis pro Einheit</t>
  </si>
  <si>
    <t>Einzelmaterial pro Einheit</t>
  </si>
  <si>
    <t>Weitere, externe Kosten pro Einheit</t>
  </si>
  <si>
    <t>Fixkosten pro Jahr</t>
  </si>
  <si>
    <t>Grossrevision im Jahr 5</t>
  </si>
  <si>
    <t>Geforderte Rendite</t>
  </si>
  <si>
    <t>Beschreibung</t>
  </si>
  <si>
    <t>Maximalkapazität pro Jahr (produzierte Einheiten)</t>
  </si>
  <si>
    <t>Marktpotenzial pro Jahr (Einheiten)</t>
  </si>
  <si>
    <t>Kapitalwert-Methode</t>
  </si>
  <si>
    <t>Verkaufserlös pro Jahr</t>
  </si>
  <si>
    <t>Kosten variabel pro Jahr</t>
  </si>
  <si>
    <t>Kosten fix pro Jahr</t>
  </si>
  <si>
    <t>Rbf 10J, 10%</t>
  </si>
  <si>
    <t>Kapitaleinsatz</t>
  </si>
  <si>
    <t>Grossrevision Jahr 5 (AbF 5J, 10%)</t>
  </si>
  <si>
    <t>AbF 5J, 10%</t>
  </si>
  <si>
    <t>AbF 10J, 10%</t>
  </si>
  <si>
    <t>Kapitalwert</t>
  </si>
  <si>
    <t>Cashflow 10 Jahre (500'000 x 6.1446)</t>
  </si>
  <si>
    <t xml:space="preserve">Cashflow pro Jahr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</si>
</sst>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0" applyNumberFormat="1"/>
    <xf numFmtId="0" fontId="2" fillId="0" borderId="0" xfId="0" applyFont="1"/>
    <xf numFmtId="0" fontId="0" fillId="3" borderId="1" xfId="0" applyFill="1" applyBorder="1"/>
    <xf numFmtId="0" fontId="0" fillId="0" borderId="1" xfId="0" applyBorder="1"/>
    <xf numFmtId="43" fontId="0" fillId="0" borderId="1" xfId="1" applyFont="1" applyBorder="1"/>
    <xf numFmtId="9" fontId="0" fillId="0" borderId="1" xfId="2" applyFont="1" applyBorder="1"/>
    <xf numFmtId="43" fontId="0" fillId="4" borderId="1" xfId="1" applyFont="1" applyFill="1" applyBorder="1"/>
    <xf numFmtId="9" fontId="0" fillId="4" borderId="1" xfId="2" applyFont="1" applyFill="1" applyBorder="1"/>
    <xf numFmtId="43" fontId="0" fillId="0" borderId="0" xfId="1" applyFont="1"/>
    <xf numFmtId="0" fontId="0" fillId="5" borderId="1" xfId="0" applyFill="1" applyBorder="1"/>
    <xf numFmtId="43" fontId="0" fillId="5" borderId="1" xfId="1" applyFont="1" applyFill="1" applyBorder="1"/>
    <xf numFmtId="43" fontId="2" fillId="0" borderId="0" xfId="1" applyFont="1"/>
    <xf numFmtId="0" fontId="3" fillId="0" borderId="0" xfId="0" applyFont="1"/>
    <xf numFmtId="164" fontId="0" fillId="0" borderId="0" xfId="1" applyNumberFormat="1" applyFont="1"/>
    <xf numFmtId="43" fontId="2" fillId="2" borderId="5" xfId="0" applyNumberFormat="1" applyFont="1" applyFill="1" applyBorder="1"/>
    <xf numFmtId="0" fontId="2" fillId="2" borderId="5" xfId="0" applyFont="1" applyFill="1" applyBorder="1"/>
    <xf numFmtId="43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3" fontId="2" fillId="4" borderId="3" xfId="0" applyNumberFormat="1" applyFont="1" applyFill="1" applyBorder="1" applyAlignment="1">
      <alignment horizontal="center" vertical="center"/>
    </xf>
    <xf numFmtId="43" fontId="2" fillId="4" borderId="4" xfId="0" applyNumberFormat="1" applyFont="1" applyFill="1" applyBorder="1" applyAlignment="1">
      <alignment horizontal="center" vertical="center"/>
    </xf>
  </cellXfs>
  <cellStyles count="4">
    <cellStyle name="Komma" xfId="1" builtinId="3"/>
    <cellStyle name="Komma 2" xfId="3" xr:uid="{9348157F-BBCC-4B51-A3AB-079FB81AE059}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2840-A358-4B87-A09E-D144CA029E0A}">
  <dimension ref="B2:D33"/>
  <sheetViews>
    <sheetView tabSelected="1" zoomScale="115" zoomScaleNormal="115" workbookViewId="0">
      <selection activeCell="F16" sqref="F16"/>
    </sheetView>
  </sheetViews>
  <sheetFormatPr baseColWidth="10" defaultRowHeight="15" x14ac:dyDescent="0.25"/>
  <cols>
    <col min="1" max="1" width="7" customWidth="1"/>
    <col min="2" max="2" width="46.140625" bestFit="1" customWidth="1"/>
    <col min="3" max="3" width="27.85546875" bestFit="1" customWidth="1"/>
    <col min="4" max="4" width="23.5703125" bestFit="1" customWidth="1"/>
    <col min="5" max="5" width="14.28515625" bestFit="1" customWidth="1"/>
  </cols>
  <sheetData>
    <row r="2" spans="2:4" x14ac:dyDescent="0.25">
      <c r="B2" s="3" t="s">
        <v>13</v>
      </c>
      <c r="C2" s="3" t="s">
        <v>3</v>
      </c>
    </row>
    <row r="3" spans="2:4" x14ac:dyDescent="0.25">
      <c r="B3" s="4" t="s">
        <v>4</v>
      </c>
      <c r="C3" s="7">
        <v>1700000</v>
      </c>
      <c r="D3" s="17">
        <f>C3+C4+C5</f>
        <v>2300000</v>
      </c>
    </row>
    <row r="4" spans="2:4" x14ac:dyDescent="0.25">
      <c r="B4" s="4" t="s">
        <v>5</v>
      </c>
      <c r="C4" s="7">
        <v>500000</v>
      </c>
      <c r="D4" s="18"/>
    </row>
    <row r="5" spans="2:4" x14ac:dyDescent="0.25">
      <c r="B5" s="4" t="s">
        <v>0</v>
      </c>
      <c r="C5" s="7">
        <v>100000</v>
      </c>
      <c r="D5" s="19"/>
    </row>
    <row r="6" spans="2:4" x14ac:dyDescent="0.25">
      <c r="B6" s="4" t="s">
        <v>1</v>
      </c>
      <c r="C6" s="5">
        <v>10</v>
      </c>
    </row>
    <row r="7" spans="2:4" x14ac:dyDescent="0.25">
      <c r="B7" s="10" t="s">
        <v>2</v>
      </c>
      <c r="C7" s="11">
        <v>90000</v>
      </c>
    </row>
    <row r="8" spans="2:4" x14ac:dyDescent="0.25">
      <c r="B8" s="4" t="s">
        <v>14</v>
      </c>
      <c r="C8" s="7">
        <v>450000</v>
      </c>
      <c r="D8" s="17">
        <f>C9*C10</f>
        <v>300000</v>
      </c>
    </row>
    <row r="9" spans="2:4" x14ac:dyDescent="0.25">
      <c r="B9" s="4" t="s">
        <v>15</v>
      </c>
      <c r="C9" s="7">
        <v>1000000</v>
      </c>
      <c r="D9" s="20"/>
    </row>
    <row r="10" spans="2:4" x14ac:dyDescent="0.25">
      <c r="B10" s="4" t="s">
        <v>6</v>
      </c>
      <c r="C10" s="8">
        <v>0.3</v>
      </c>
      <c r="D10" s="21"/>
    </row>
    <row r="11" spans="2:4" x14ac:dyDescent="0.25">
      <c r="B11" s="4" t="s">
        <v>7</v>
      </c>
      <c r="C11" s="5">
        <v>28</v>
      </c>
    </row>
    <row r="12" spans="2:4" x14ac:dyDescent="0.25">
      <c r="B12" s="4" t="s">
        <v>8</v>
      </c>
      <c r="C12" s="7">
        <v>8</v>
      </c>
      <c r="D12" s="17">
        <f>C12+C13</f>
        <v>13</v>
      </c>
    </row>
    <row r="13" spans="2:4" x14ac:dyDescent="0.25">
      <c r="B13" s="4" t="s">
        <v>9</v>
      </c>
      <c r="C13" s="7">
        <v>5</v>
      </c>
      <c r="D13" s="19"/>
    </row>
    <row r="14" spans="2:4" x14ac:dyDescent="0.25">
      <c r="B14" s="4" t="s">
        <v>10</v>
      </c>
      <c r="C14" s="5">
        <v>4000000</v>
      </c>
    </row>
    <row r="15" spans="2:4" x14ac:dyDescent="0.25">
      <c r="B15" s="10" t="s">
        <v>11</v>
      </c>
      <c r="C15" s="11">
        <v>600000</v>
      </c>
    </row>
    <row r="16" spans="2:4" x14ac:dyDescent="0.25">
      <c r="B16" s="4" t="s">
        <v>12</v>
      </c>
      <c r="C16" s="6">
        <v>0.1</v>
      </c>
    </row>
    <row r="18" spans="2:3" x14ac:dyDescent="0.25">
      <c r="B18" t="s">
        <v>17</v>
      </c>
      <c r="C18" s="9">
        <f>D8*C11</f>
        <v>8400000</v>
      </c>
    </row>
    <row r="19" spans="2:3" x14ac:dyDescent="0.25">
      <c r="B19" t="s">
        <v>18</v>
      </c>
      <c r="C19" s="9">
        <f>-D8*D12</f>
        <v>-3900000</v>
      </c>
    </row>
    <row r="20" spans="2:3" x14ac:dyDescent="0.25">
      <c r="B20" t="s">
        <v>19</v>
      </c>
      <c r="C20" s="9">
        <f>-C14</f>
        <v>-4000000</v>
      </c>
    </row>
    <row r="21" spans="2:3" x14ac:dyDescent="0.25">
      <c r="B21" s="2" t="s">
        <v>27</v>
      </c>
      <c r="C21" s="12">
        <f>SUM(C18:C20)</f>
        <v>500000</v>
      </c>
    </row>
    <row r="22" spans="2:3" x14ac:dyDescent="0.25">
      <c r="B22" t="s">
        <v>20</v>
      </c>
      <c r="C22" s="14">
        <v>6.1445999999999996</v>
      </c>
    </row>
    <row r="23" spans="2:3" x14ac:dyDescent="0.25">
      <c r="B23" t="s">
        <v>23</v>
      </c>
      <c r="C23" s="14">
        <v>0.62090000000000001</v>
      </c>
    </row>
    <row r="24" spans="2:3" x14ac:dyDescent="0.25">
      <c r="B24" t="s">
        <v>24</v>
      </c>
      <c r="C24" s="14">
        <v>0.38550000000000001</v>
      </c>
    </row>
    <row r="26" spans="2:3" ht="15.75" x14ac:dyDescent="0.25">
      <c r="B26" s="13" t="s">
        <v>16</v>
      </c>
    </row>
    <row r="28" spans="2:3" x14ac:dyDescent="0.25">
      <c r="B28" s="1">
        <f>-D3</f>
        <v>-2300000</v>
      </c>
      <c r="C28" t="s">
        <v>21</v>
      </c>
    </row>
    <row r="29" spans="2:3" x14ac:dyDescent="0.25">
      <c r="B29" s="1">
        <f>C21*C22</f>
        <v>3072300</v>
      </c>
      <c r="C29" t="s">
        <v>26</v>
      </c>
    </row>
    <row r="30" spans="2:3" x14ac:dyDescent="0.25">
      <c r="B30" s="1">
        <f>-C15*C23</f>
        <v>-372540</v>
      </c>
      <c r="C30" t="s">
        <v>22</v>
      </c>
    </row>
    <row r="31" spans="2:3" x14ac:dyDescent="0.25">
      <c r="B31" s="1">
        <f>C7*C24</f>
        <v>34695</v>
      </c>
      <c r="C31" t="s">
        <v>2</v>
      </c>
    </row>
    <row r="32" spans="2:3" ht="15.75" thickBot="1" x14ac:dyDescent="0.3">
      <c r="B32" s="15">
        <f>SUM(B28:B31)</f>
        <v>434455</v>
      </c>
      <c r="C32" s="16" t="s">
        <v>25</v>
      </c>
    </row>
    <row r="33" ht="15.75" thickTop="1" x14ac:dyDescent="0.25"/>
  </sheetData>
  <mergeCells count="3">
    <mergeCell ref="D3:D5"/>
    <mergeCell ref="D8:D10"/>
    <mergeCell ref="D12:D13"/>
  </mergeCells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Lösung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HAKAN-HP</dc:creator>
  <cp:lastModifiedBy>Kammer Adrian (kama)</cp:lastModifiedBy>
  <dcterms:created xsi:type="dcterms:W3CDTF">2021-09-12T15:56:16Z</dcterms:created>
  <dcterms:modified xsi:type="dcterms:W3CDTF">2026-04-15T09:02:21Z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2025-03-18T16:21:52Z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cbf13b07-7743-49d0-b7ed-8bbad4487e0b</vt:lpwstr>
  </property>
  <property fmtid="{D5CDD505-2E9C-101B-9397-08002B2CF9AE}" pid="8" name="MSIP_Label_10d9bad3-6dac-4e9a-89a3-89f3b8d247b2_ContentBits">
    <vt:lpwstr>0</vt:lpwstr>
  </property>
</Properties>
</file>