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dept\INE_Fileserver_Narbonne\Lehre\BSC\SG_WI\05 WVK_IVEST\Vorlesung 2026\Woche 8\"/>
    </mc:Choice>
  </mc:AlternateContent>
  <xr:revisionPtr revIDLastSave="0" documentId="13_ncr:1_{0F855630-0D4A-41A2-A7C9-2100575C6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1" i="1"/>
  <c r="D12" i="1"/>
  <c r="X27" i="1"/>
  <c r="X28" i="1" s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X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E10" i="1"/>
  <c r="D10" i="1"/>
</calcChain>
</file>

<file path=xl/sharedStrings.xml><?xml version="1.0" encoding="utf-8"?>
<sst xmlns="http://schemas.openxmlformats.org/spreadsheetml/2006/main" count="24" uniqueCount="11">
  <si>
    <t>Gasboiler</t>
  </si>
  <si>
    <t>Net-Present-Costs [CHF]</t>
  </si>
  <si>
    <t>WACC</t>
  </si>
  <si>
    <t>Wartungskosten [CHF]</t>
  </si>
  <si>
    <t>Energiekosten [CHF]</t>
  </si>
  <si>
    <t>Investitionskosten Netto [CHF]</t>
  </si>
  <si>
    <t>Restwert nach 20 Jahren [CHF]</t>
  </si>
  <si>
    <t>Jährliche Netto-Kosten Total [CHF]</t>
  </si>
  <si>
    <t>Wärmepumpe</t>
  </si>
  <si>
    <t>Erdwärme</t>
  </si>
  <si>
    <t>Luft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</si>
</sst>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CHF&quot;\ #,##0;[Red]&quot;CHF&quot;\ \-#,##0"/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/>
    <xf numFmtId="1" fontId="0" fillId="0" borderId="1" xfId="0" applyNumberFormat="1" applyBorder="1"/>
    <xf numFmtId="1" fontId="0" fillId="0" borderId="0" xfId="0" applyNumberFormat="1"/>
    <xf numFmtId="0" fontId="1" fillId="0" borderId="1" xfId="0" applyFont="1" applyBorder="1"/>
    <xf numFmtId="6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30"/>
  <sheetViews>
    <sheetView tabSelected="1" zoomScaleNormal="100" workbookViewId="0">
      <selection activeCell="C32" sqref="C32"/>
    </sheetView>
  </sheetViews>
  <sheetFormatPr baseColWidth="10" defaultColWidth="9.140625" defaultRowHeight="15" x14ac:dyDescent="0.25"/>
  <cols>
    <col min="2" max="2" width="13.85546875" bestFit="1" customWidth="1"/>
    <col min="3" max="3" width="31.140625" customWidth="1"/>
    <col min="4" max="4" width="10.42578125" bestFit="1" customWidth="1"/>
    <col min="5" max="23" width="5.140625" bestFit="1" customWidth="1"/>
    <col min="24" max="24" width="6.85546875" bestFit="1" customWidth="1"/>
  </cols>
  <sheetData>
    <row r="3" spans="2:24" x14ac:dyDescent="0.25">
      <c r="B3" t="s">
        <v>2</v>
      </c>
      <c r="C3" s="2">
        <v>3.5000000000000003E-2</v>
      </c>
    </row>
    <row r="5" spans="2:24" x14ac:dyDescent="0.25">
      <c r="B5" s="1"/>
      <c r="C5" s="1"/>
      <c r="D5" s="6">
        <v>0</v>
      </c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6">
        <v>13</v>
      </c>
      <c r="R5" s="6">
        <v>14</v>
      </c>
      <c r="S5" s="6">
        <v>15</v>
      </c>
      <c r="T5" s="6">
        <v>16</v>
      </c>
      <c r="U5" s="6">
        <v>17</v>
      </c>
      <c r="V5" s="6">
        <v>18</v>
      </c>
      <c r="W5" s="6">
        <v>19</v>
      </c>
      <c r="X5" s="6">
        <v>20</v>
      </c>
    </row>
    <row r="6" spans="2:24" x14ac:dyDescent="0.25">
      <c r="B6" s="3" t="s">
        <v>0</v>
      </c>
      <c r="C6" t="s">
        <v>3</v>
      </c>
      <c r="D6">
        <v>0</v>
      </c>
      <c r="E6">
        <v>650</v>
      </c>
      <c r="F6">
        <v>650</v>
      </c>
      <c r="G6">
        <v>650</v>
      </c>
      <c r="H6">
        <v>650</v>
      </c>
      <c r="I6">
        <v>650</v>
      </c>
      <c r="J6">
        <v>650</v>
      </c>
      <c r="K6">
        <v>650</v>
      </c>
      <c r="L6">
        <v>650</v>
      </c>
      <c r="M6">
        <v>650</v>
      </c>
      <c r="N6">
        <v>650</v>
      </c>
      <c r="O6">
        <v>650</v>
      </c>
      <c r="P6">
        <v>650</v>
      </c>
      <c r="Q6">
        <v>650</v>
      </c>
      <c r="R6">
        <v>650</v>
      </c>
      <c r="S6">
        <v>650</v>
      </c>
      <c r="T6">
        <v>650</v>
      </c>
      <c r="U6">
        <v>650</v>
      </c>
      <c r="V6">
        <v>650</v>
      </c>
      <c r="W6">
        <v>650</v>
      </c>
      <c r="X6">
        <v>650</v>
      </c>
    </row>
    <row r="7" spans="2:24" x14ac:dyDescent="0.25">
      <c r="C7" t="s">
        <v>4</v>
      </c>
      <c r="D7">
        <v>0</v>
      </c>
      <c r="E7">
        <v>2217</v>
      </c>
      <c r="F7">
        <v>2217</v>
      </c>
      <c r="G7">
        <v>2217</v>
      </c>
      <c r="H7">
        <v>2217</v>
      </c>
      <c r="I7">
        <v>2217</v>
      </c>
      <c r="J7">
        <v>2217</v>
      </c>
      <c r="K7">
        <v>2217</v>
      </c>
      <c r="L7">
        <v>2217</v>
      </c>
      <c r="M7">
        <v>2217</v>
      </c>
      <c r="N7">
        <v>2217</v>
      </c>
      <c r="O7">
        <v>2217</v>
      </c>
      <c r="P7">
        <v>2217</v>
      </c>
      <c r="Q7">
        <v>2217</v>
      </c>
      <c r="R7">
        <v>2217</v>
      </c>
      <c r="S7">
        <v>2217</v>
      </c>
      <c r="T7">
        <v>2217</v>
      </c>
      <c r="U7">
        <v>2217</v>
      </c>
      <c r="V7">
        <v>2217</v>
      </c>
      <c r="W7">
        <v>2217</v>
      </c>
      <c r="X7">
        <v>2217</v>
      </c>
    </row>
    <row r="8" spans="2:24" x14ac:dyDescent="0.25">
      <c r="C8" t="s">
        <v>5</v>
      </c>
      <c r="D8">
        <v>16000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2:24" x14ac:dyDescent="0.25">
      <c r="C9" s="1" t="s">
        <v>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2:24" x14ac:dyDescent="0.25">
      <c r="C10" t="s">
        <v>7</v>
      </c>
      <c r="D10">
        <f>SUM(D6:D8)</f>
        <v>16000</v>
      </c>
      <c r="E10">
        <f>SUM(E6:E8)</f>
        <v>2867</v>
      </c>
      <c r="F10">
        <f>SUM(F6:F8)</f>
        <v>2867</v>
      </c>
      <c r="G10">
        <f>SUM(G6:G8)</f>
        <v>2867</v>
      </c>
      <c r="H10">
        <f>SUM(H6:H8)</f>
        <v>2867</v>
      </c>
      <c r="I10">
        <f>SUM(I6:I8)</f>
        <v>2867</v>
      </c>
      <c r="J10">
        <f>SUM(J6:J8)</f>
        <v>2867</v>
      </c>
      <c r="K10">
        <f>SUM(K6:K8)</f>
        <v>2867</v>
      </c>
      <c r="L10">
        <f>SUM(L6:L8)</f>
        <v>2867</v>
      </c>
      <c r="M10">
        <f>SUM(M6:M8)</f>
        <v>2867</v>
      </c>
      <c r="N10">
        <f>SUM(N6:N8)</f>
        <v>2867</v>
      </c>
      <c r="O10">
        <f>SUM(O6:O8)</f>
        <v>2867</v>
      </c>
      <c r="P10">
        <f>SUM(P6:P8)</f>
        <v>2867</v>
      </c>
      <c r="Q10">
        <f>SUM(Q6:Q8)</f>
        <v>2867</v>
      </c>
      <c r="R10">
        <f>SUM(R6:R8)</f>
        <v>2867</v>
      </c>
      <c r="S10">
        <f>SUM(S6:S8)</f>
        <v>2867</v>
      </c>
      <c r="T10">
        <f>SUM(T6:T8)</f>
        <v>2867</v>
      </c>
      <c r="U10">
        <f>SUM(U6:U8)</f>
        <v>2867</v>
      </c>
      <c r="V10">
        <f>SUM(V6:V8)</f>
        <v>2867</v>
      </c>
      <c r="W10">
        <f>SUM(W6:W8)</f>
        <v>2867</v>
      </c>
      <c r="X10">
        <f>SUM(X6:X8)</f>
        <v>2867</v>
      </c>
    </row>
    <row r="12" spans="2:24" x14ac:dyDescent="0.25">
      <c r="C12" t="s">
        <v>1</v>
      </c>
      <c r="D12" s="7">
        <f>NPV(C3,E10:X10)+D10</f>
        <v>56746.960266697264</v>
      </c>
    </row>
    <row r="14" spans="2:24" x14ac:dyDescent="0.25">
      <c r="B14" s="1"/>
      <c r="C14" s="1"/>
      <c r="D14" s="6">
        <v>0</v>
      </c>
      <c r="E14" s="6">
        <v>1</v>
      </c>
      <c r="F14" s="6">
        <v>2</v>
      </c>
      <c r="G14" s="6">
        <v>3</v>
      </c>
      <c r="H14" s="6">
        <v>4</v>
      </c>
      <c r="I14" s="6">
        <v>5</v>
      </c>
      <c r="J14" s="6">
        <v>6</v>
      </c>
      <c r="K14" s="6">
        <v>7</v>
      </c>
      <c r="L14" s="6">
        <v>8</v>
      </c>
      <c r="M14" s="6">
        <v>9</v>
      </c>
      <c r="N14" s="6">
        <v>10</v>
      </c>
      <c r="O14" s="6">
        <v>11</v>
      </c>
      <c r="P14" s="6">
        <v>12</v>
      </c>
      <c r="Q14" s="6">
        <v>13</v>
      </c>
      <c r="R14" s="6">
        <v>14</v>
      </c>
      <c r="S14" s="6">
        <v>15</v>
      </c>
      <c r="T14" s="6">
        <v>16</v>
      </c>
      <c r="U14" s="6">
        <v>17</v>
      </c>
      <c r="V14" s="6">
        <v>18</v>
      </c>
      <c r="W14" s="6">
        <v>19</v>
      </c>
      <c r="X14" s="6">
        <v>20</v>
      </c>
    </row>
    <row r="15" spans="2:24" x14ac:dyDescent="0.25">
      <c r="B15" s="3" t="s">
        <v>8</v>
      </c>
      <c r="C15" t="s">
        <v>3</v>
      </c>
      <c r="D15">
        <v>0</v>
      </c>
      <c r="E15">
        <v>300</v>
      </c>
      <c r="F15">
        <v>300</v>
      </c>
      <c r="G15">
        <v>300</v>
      </c>
      <c r="H15">
        <v>300</v>
      </c>
      <c r="I15">
        <v>300</v>
      </c>
      <c r="J15">
        <v>300</v>
      </c>
      <c r="K15">
        <v>300</v>
      </c>
      <c r="L15">
        <v>300</v>
      </c>
      <c r="M15">
        <v>300</v>
      </c>
      <c r="N15">
        <v>300</v>
      </c>
      <c r="O15">
        <v>300</v>
      </c>
      <c r="P15">
        <v>300</v>
      </c>
      <c r="Q15">
        <v>300</v>
      </c>
      <c r="R15">
        <v>300</v>
      </c>
      <c r="S15">
        <v>300</v>
      </c>
      <c r="T15">
        <v>300</v>
      </c>
      <c r="U15">
        <v>300</v>
      </c>
      <c r="V15">
        <v>300</v>
      </c>
      <c r="W15">
        <v>300</v>
      </c>
      <c r="X15">
        <v>300</v>
      </c>
    </row>
    <row r="16" spans="2:24" x14ac:dyDescent="0.25">
      <c r="B16" s="3" t="s">
        <v>10</v>
      </c>
      <c r="C16" t="s">
        <v>4</v>
      </c>
      <c r="D16">
        <v>0</v>
      </c>
      <c r="E16">
        <v>1788</v>
      </c>
      <c r="F16">
        <v>1788</v>
      </c>
      <c r="G16">
        <v>1788</v>
      </c>
      <c r="H16">
        <v>1788</v>
      </c>
      <c r="I16">
        <v>1788</v>
      </c>
      <c r="J16">
        <v>1788</v>
      </c>
      <c r="K16">
        <v>1788</v>
      </c>
      <c r="L16">
        <v>1788</v>
      </c>
      <c r="M16">
        <v>1788</v>
      </c>
      <c r="N16">
        <v>1788</v>
      </c>
      <c r="O16">
        <v>1788</v>
      </c>
      <c r="P16">
        <v>1788</v>
      </c>
      <c r="Q16">
        <v>1788</v>
      </c>
      <c r="R16">
        <v>1788</v>
      </c>
      <c r="S16">
        <v>1788</v>
      </c>
      <c r="T16">
        <v>1788</v>
      </c>
      <c r="U16">
        <v>1788</v>
      </c>
      <c r="V16">
        <v>1788</v>
      </c>
      <c r="W16">
        <v>1788</v>
      </c>
      <c r="X16">
        <v>1788</v>
      </c>
    </row>
    <row r="17" spans="2:24" x14ac:dyDescent="0.25">
      <c r="C17" t="s">
        <v>5</v>
      </c>
      <c r="D17">
        <v>39100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25">
      <c r="C18" s="1" t="s">
        <v>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2:24" x14ac:dyDescent="0.25">
      <c r="C19" t="s">
        <v>7</v>
      </c>
      <c r="D19">
        <f>SUM(D15:D17)</f>
        <v>39100</v>
      </c>
      <c r="E19">
        <f>SUM(E15:E17)</f>
        <v>2088</v>
      </c>
      <c r="F19">
        <f>SUM(F15:F17)</f>
        <v>2088</v>
      </c>
      <c r="G19">
        <f>SUM(G15:G17)</f>
        <v>2088</v>
      </c>
      <c r="H19">
        <f>SUM(H15:H17)</f>
        <v>2088</v>
      </c>
      <c r="I19">
        <f>SUM(I15:I17)</f>
        <v>2088</v>
      </c>
      <c r="J19">
        <f>SUM(J15:J17)</f>
        <v>2088</v>
      </c>
      <c r="K19">
        <f>SUM(K15:K17)</f>
        <v>2088</v>
      </c>
      <c r="L19">
        <f>SUM(L15:L17)</f>
        <v>2088</v>
      </c>
      <c r="M19">
        <f>SUM(M15:M17)</f>
        <v>2088</v>
      </c>
      <c r="N19">
        <f>SUM(N15:N17)</f>
        <v>2088</v>
      </c>
      <c r="O19">
        <f>SUM(O15:O17)</f>
        <v>2088</v>
      </c>
      <c r="P19">
        <f>SUM(P15:P17)</f>
        <v>2088</v>
      </c>
      <c r="Q19">
        <f>SUM(Q15:Q17)</f>
        <v>2088</v>
      </c>
      <c r="R19">
        <f>SUM(R15:R17)</f>
        <v>2088</v>
      </c>
      <c r="S19">
        <f>SUM(S15:S17)</f>
        <v>2088</v>
      </c>
      <c r="T19">
        <f>SUM(T15:T17)</f>
        <v>2088</v>
      </c>
      <c r="U19">
        <f>SUM(U15:U17)</f>
        <v>2088</v>
      </c>
      <c r="V19">
        <f>SUM(V15:V17)</f>
        <v>2088</v>
      </c>
      <c r="W19">
        <f>SUM(W15:W17)</f>
        <v>2088</v>
      </c>
      <c r="X19">
        <f>SUM(X15:X17)</f>
        <v>2088</v>
      </c>
    </row>
    <row r="21" spans="2:24" x14ac:dyDescent="0.25">
      <c r="C21" t="s">
        <v>1</v>
      </c>
      <c r="D21" s="7">
        <f>NPV(C3,E19:X19)+D19</f>
        <v>68775.49809447641</v>
      </c>
    </row>
    <row r="23" spans="2:24" x14ac:dyDescent="0.25">
      <c r="B23" s="1"/>
      <c r="C23" s="1"/>
      <c r="D23" s="6">
        <v>0</v>
      </c>
      <c r="E23" s="6">
        <v>1</v>
      </c>
      <c r="F23" s="6">
        <v>2</v>
      </c>
      <c r="G23" s="6">
        <v>3</v>
      </c>
      <c r="H23" s="6">
        <v>4</v>
      </c>
      <c r="I23" s="6">
        <v>5</v>
      </c>
      <c r="J23" s="6">
        <v>6</v>
      </c>
      <c r="K23" s="6">
        <v>7</v>
      </c>
      <c r="L23" s="6">
        <v>8</v>
      </c>
      <c r="M23" s="6">
        <v>9</v>
      </c>
      <c r="N23" s="6">
        <v>10</v>
      </c>
      <c r="O23" s="6">
        <v>11</v>
      </c>
      <c r="P23" s="6">
        <v>12</v>
      </c>
      <c r="Q23" s="6">
        <v>13</v>
      </c>
      <c r="R23" s="6">
        <v>14</v>
      </c>
      <c r="S23" s="6">
        <v>15</v>
      </c>
      <c r="T23" s="6">
        <v>16</v>
      </c>
      <c r="U23" s="6">
        <v>17</v>
      </c>
      <c r="V23" s="6">
        <v>18</v>
      </c>
      <c r="W23" s="6">
        <v>19</v>
      </c>
      <c r="X23" s="6">
        <v>20</v>
      </c>
    </row>
    <row r="24" spans="2:24" x14ac:dyDescent="0.25">
      <c r="B24" s="3" t="s">
        <v>8</v>
      </c>
      <c r="C24" t="s">
        <v>3</v>
      </c>
      <c r="D24">
        <v>0</v>
      </c>
      <c r="E24">
        <v>300</v>
      </c>
      <c r="F24">
        <v>300</v>
      </c>
      <c r="G24">
        <v>300</v>
      </c>
      <c r="H24">
        <v>300</v>
      </c>
      <c r="I24">
        <v>300</v>
      </c>
      <c r="J24">
        <v>300</v>
      </c>
      <c r="K24">
        <v>300</v>
      </c>
      <c r="L24">
        <v>300</v>
      </c>
      <c r="M24">
        <v>300</v>
      </c>
      <c r="N24">
        <v>300</v>
      </c>
      <c r="O24">
        <v>300</v>
      </c>
      <c r="P24">
        <v>300</v>
      </c>
      <c r="Q24">
        <v>300</v>
      </c>
      <c r="R24">
        <v>300</v>
      </c>
      <c r="S24">
        <v>300</v>
      </c>
      <c r="T24">
        <v>300</v>
      </c>
      <c r="U24">
        <v>300</v>
      </c>
      <c r="V24">
        <v>300</v>
      </c>
      <c r="W24">
        <v>300</v>
      </c>
      <c r="X24">
        <v>300</v>
      </c>
    </row>
    <row r="25" spans="2:24" x14ac:dyDescent="0.25">
      <c r="B25" s="3" t="s">
        <v>9</v>
      </c>
      <c r="C25" t="s">
        <v>4</v>
      </c>
      <c r="D25">
        <v>0</v>
      </c>
      <c r="E25">
        <v>1430</v>
      </c>
      <c r="F25">
        <v>1430</v>
      </c>
      <c r="G25">
        <v>1430</v>
      </c>
      <c r="H25">
        <v>1430</v>
      </c>
      <c r="I25">
        <v>1430</v>
      </c>
      <c r="J25">
        <v>1430</v>
      </c>
      <c r="K25">
        <v>1430</v>
      </c>
      <c r="L25">
        <v>1430</v>
      </c>
      <c r="M25">
        <v>1430</v>
      </c>
      <c r="N25">
        <v>1430</v>
      </c>
      <c r="O25">
        <v>1430</v>
      </c>
      <c r="P25">
        <v>1430</v>
      </c>
      <c r="Q25">
        <v>1430</v>
      </c>
      <c r="R25">
        <v>1430</v>
      </c>
      <c r="S25">
        <v>1430</v>
      </c>
      <c r="T25">
        <v>1430</v>
      </c>
      <c r="U25">
        <v>1430</v>
      </c>
      <c r="V25">
        <v>1430</v>
      </c>
      <c r="W25">
        <v>1430</v>
      </c>
      <c r="X25">
        <v>1430</v>
      </c>
    </row>
    <row r="26" spans="2:24" x14ac:dyDescent="0.25">
      <c r="C26" t="s">
        <v>5</v>
      </c>
      <c r="D26">
        <v>53200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25">
      <c r="C27" s="1" t="s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4">
        <f>(8/28)*60000</f>
        <v>17142.857142857141</v>
      </c>
    </row>
    <row r="28" spans="2:24" x14ac:dyDescent="0.25">
      <c r="C28" t="s">
        <v>7</v>
      </c>
      <c r="D28">
        <f>SUM(D24:D26)-D27</f>
        <v>53200</v>
      </c>
      <c r="E28">
        <f t="shared" ref="E28:W28" si="0">SUM(E24:E26)-E27</f>
        <v>1730</v>
      </c>
      <c r="F28">
        <f t="shared" si="0"/>
        <v>1730</v>
      </c>
      <c r="G28">
        <f t="shared" si="0"/>
        <v>1730</v>
      </c>
      <c r="H28">
        <f t="shared" si="0"/>
        <v>1730</v>
      </c>
      <c r="I28">
        <f t="shared" si="0"/>
        <v>1730</v>
      </c>
      <c r="J28">
        <f t="shared" si="0"/>
        <v>1730</v>
      </c>
      <c r="K28">
        <f t="shared" si="0"/>
        <v>1730</v>
      </c>
      <c r="L28">
        <f t="shared" si="0"/>
        <v>1730</v>
      </c>
      <c r="M28">
        <f t="shared" si="0"/>
        <v>1730</v>
      </c>
      <c r="N28">
        <f t="shared" si="0"/>
        <v>1730</v>
      </c>
      <c r="O28">
        <f t="shared" si="0"/>
        <v>1730</v>
      </c>
      <c r="P28">
        <f t="shared" si="0"/>
        <v>1730</v>
      </c>
      <c r="Q28">
        <f t="shared" si="0"/>
        <v>1730</v>
      </c>
      <c r="R28">
        <f t="shared" si="0"/>
        <v>1730</v>
      </c>
      <c r="S28">
        <f t="shared" si="0"/>
        <v>1730</v>
      </c>
      <c r="T28">
        <f t="shared" si="0"/>
        <v>1730</v>
      </c>
      <c r="U28">
        <f t="shared" si="0"/>
        <v>1730</v>
      </c>
      <c r="V28">
        <f t="shared" si="0"/>
        <v>1730</v>
      </c>
      <c r="W28">
        <f t="shared" si="0"/>
        <v>1730</v>
      </c>
      <c r="X28" s="5">
        <f>SUM(X24:X26)-X27</f>
        <v>-15412.857142857141</v>
      </c>
    </row>
    <row r="30" spans="2:24" x14ac:dyDescent="0.25">
      <c r="C30" t="s">
        <v>1</v>
      </c>
      <c r="D30" s="7">
        <f>NPV(C3,E28:X28)+D28</f>
        <v>69172.042550691694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Kammer Adrian (kama)</dc:creator>
  <cp:lastModifiedBy>Kammer Adrian (kama)</cp:lastModifiedBy>
  <dcterms:created xsi:type="dcterms:W3CDTF">2015-06-05T18:19:34Z</dcterms:created>
  <dcterms:modified xsi:type="dcterms:W3CDTF">2026-04-09T09:11:06Z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2026-04-09T07:35:24Z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fb9514aa-2e5c-4d34-b173-3c1d95f51926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