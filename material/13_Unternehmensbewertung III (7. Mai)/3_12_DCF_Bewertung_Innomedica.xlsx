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S:\dept\INE_Fileserver_Narbonne\Lehre\Bsc\SG_WI\05 WVK_IVEST\Vorlesung 2026\Woche 12\"/>
    </mc:Choice>
  </mc:AlternateContent>
  <xr:revisionPtr revIDLastSave="0" documentId="13_ncr:1_{24202D4F-A99F-4962-91DA-75BEC752E2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/>
  <c r="C27" i="1"/>
  <c r="C17" i="1"/>
  <c r="G12" i="1"/>
  <c r="H12" i="1" l="1"/>
  <c r="I12" i="1" l="1"/>
  <c r="J12" i="1" s="1"/>
  <c r="K12" i="1" s="1"/>
  <c r="L13" i="1" s="1"/>
  <c r="C18" i="1" l="1"/>
  <c r="M13" i="1"/>
  <c r="N13" i="1" s="1"/>
  <c r="O13" i="1" s="1"/>
  <c r="P13" i="1" s="1"/>
  <c r="P14" i="1" l="1"/>
  <c r="C20" i="1" s="1"/>
  <c r="C19" i="1"/>
  <c r="C21" i="1" s="1"/>
</calcChain>
</file>

<file path=xl/sharedStrings.xml><?xml version="1.0" encoding="utf-8"?>
<sst xmlns="http://schemas.openxmlformats.org/spreadsheetml/2006/main" count="22" uniqueCount="22">
  <si>
    <t>Detailplanung (Anfangsphase)</t>
  </si>
  <si>
    <t>Übergangsphase I (Grobplanung)</t>
  </si>
  <si>
    <t>Übergangsphase II (Grobplanung)</t>
  </si>
  <si>
    <t>Bestehende Namenaktien</t>
  </si>
  <si>
    <t>Neue Namenaktien</t>
  </si>
  <si>
    <t>Total Namenaktien</t>
  </si>
  <si>
    <t>Terminal Value</t>
  </si>
  <si>
    <t>Preis pro Aktie [CHF]</t>
  </si>
  <si>
    <t>FCF-Wachstum 2028-32</t>
  </si>
  <si>
    <t>FCF-Wachstum 2033-37</t>
  </si>
  <si>
    <t>FCF-Wachstum Endwertperiode</t>
  </si>
  <si>
    <t>Bewertung Innomedica mit DCF-Methode basierend auf Business Plan (ohne Steuern auf EBIT)</t>
  </si>
  <si>
    <t>Kapitalkostensatz</t>
  </si>
  <si>
    <t xml:space="preserve">Free-Cashflow Detailplanung </t>
  </si>
  <si>
    <t>Free-Cashflow Übergangsphase I</t>
  </si>
  <si>
    <t>Übergangsphase II</t>
  </si>
  <si>
    <t>Free-Cashflow Übergangsphase II</t>
  </si>
  <si>
    <t>Present Values</t>
  </si>
  <si>
    <t xml:space="preserve">Detailplanung </t>
  </si>
  <si>
    <t>Übergangsphase I</t>
  </si>
  <si>
    <t>Total Unternehmenswert</t>
  </si>
  <si>
    <t>Free-Cashflow Terminal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</si>
</sst>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CHF&quot;\ #,##0.00;[Red]&quot;CHF&quot;\ \-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3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0" fontId="0" fillId="2" borderId="0" xfId="0" applyFill="1"/>
    <xf numFmtId="0" fontId="0" fillId="4" borderId="0" xfId="0" applyFill="1"/>
    <xf numFmtId="3" fontId="0" fillId="0" borderId="0" xfId="0" applyNumberFormat="1" applyFont="1"/>
    <xf numFmtId="0" fontId="1" fillId="2" borderId="0" xfId="0" applyFont="1" applyFill="1"/>
    <xf numFmtId="0" fontId="0" fillId="0" borderId="1" xfId="0" applyBorder="1"/>
    <xf numFmtId="0" fontId="1" fillId="3" borderId="0" xfId="0" applyFont="1" applyFill="1"/>
    <xf numFmtId="0" fontId="1" fillId="4" borderId="0" xfId="0" applyFont="1" applyFill="1"/>
    <xf numFmtId="0" fontId="2" fillId="0" borderId="0" xfId="0" applyFont="1"/>
    <xf numFmtId="9" fontId="0" fillId="5" borderId="0" xfId="0" applyNumberFormat="1" applyFill="1"/>
    <xf numFmtId="3" fontId="0" fillId="0" borderId="1" xfId="0" applyNumberFormat="1" applyBorder="1"/>
    <xf numFmtId="0" fontId="1" fillId="6" borderId="0" xfId="0" applyFont="1" applyFill="1"/>
    <xf numFmtId="2" fontId="3" fillId="6" borderId="0" xfId="0" applyNumberFormat="1" applyFont="1" applyFill="1" applyBorder="1"/>
    <xf numFmtId="8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de-CH"/>
              <a:t>Unternehmenswert per Ende 2023 [CHF]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Tabelle1!$B$17</c:f>
              <c:strCache>
                <c:ptCount val="1"/>
                <c:pt idx="0">
                  <c:v>Detailplanung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Tabelle1!$C$17</c:f>
              <c:numCache>
                <c:formatCode>#,##0</c:formatCode>
                <c:ptCount val="1"/>
                <c:pt idx="0">
                  <c:v>71081686.139841035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21-4DE3-81C3-5E3673A26E23}"/>
            </c:ext>
          </c:extLst>
        </c:ser>
        <c:ser>
          <c:idx val="1"/>
          <c:order val="1"/>
          <c:tx>
            <c:strRef>
              <c:f>Tabelle1!$B$18</c:f>
              <c:strCache>
                <c:ptCount val="1"/>
                <c:pt idx="0">
                  <c:v>Übergangsphase 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Tabelle1!$C$18</c:f>
              <c:numCache>
                <c:formatCode>#,##0</c:formatCode>
                <c:ptCount val="1"/>
                <c:pt idx="0">
                  <c:v>330886187.45842224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21-4DE3-81C3-5E3673A26E23}"/>
            </c:ext>
          </c:extLst>
        </c:ser>
        <c:ser>
          <c:idx val="2"/>
          <c:order val="2"/>
          <c:tx>
            <c:strRef>
              <c:f>Tabelle1!$B$19</c:f>
              <c:strCache>
                <c:ptCount val="1"/>
                <c:pt idx="0">
                  <c:v>Übergangsphase II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Tabelle1!$C$19</c:f>
              <c:numCache>
                <c:formatCode>#,##0</c:formatCode>
                <c:ptCount val="1"/>
                <c:pt idx="0">
                  <c:v>232513937.94215858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21-4DE3-81C3-5E3673A26E23}"/>
            </c:ext>
          </c:extLst>
        </c:ser>
        <c:ser>
          <c:idx val="3"/>
          <c:order val="3"/>
          <c:tx>
            <c:strRef>
              <c:f>Tabelle1!$B$20</c:f>
              <c:strCache>
                <c:ptCount val="1"/>
                <c:pt idx="0">
                  <c:v>Terminal Value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Tabelle1!$C$20</c:f>
              <c:numCache>
                <c:formatCode>#,##0</c:formatCode>
                <c:ptCount val="1"/>
                <c:pt idx="0">
                  <c:v>136758564.88514236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21-4DE3-81C3-5E3673A26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40864976"/>
        <c:axId val="831701904"/>
      </c:barChart>
      <c:catAx>
        <c:axId val="10408649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31701904"/>
        <c:crosses val="autoZero"/>
        <c:auto val="1"/>
        <c:lblAlgn val="ctr"/>
        <c:lblOffset val="100"/>
        <c:noMultiLvlLbl val="0"/>
      </c:catAx>
      <c:valAx>
        <c:axId val="83170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040864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Arial" panose="020B0604020202020204" pitchFamily="34" charset="0"/>
          <a:cs typeface="Arial" panose="020B0604020202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364565</xdr:colOff>
      <xdr:row>15</xdr:row>
      <xdr:rowOff>62006</xdr:rowOff>
    </xdr:from>
    <xdr:to>
      <xdr:col>10</xdr:col>
      <xdr:colOff>89647</xdr:colOff>
      <xdr:row>39</xdr:row>
      <xdr:rowOff>23906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E9D9E59D-F2E6-6C8A-DC26-B0D0233592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27"/>
  <sheetViews>
    <sheetView tabSelected="1" zoomScaleNormal="100" workbookViewId="0">
      <selection activeCell="C31" sqref="C31"/>
    </sheetView>
  </sheetViews>
  <sheetFormatPr baseColWidth="10" defaultColWidth="9.140625" defaultRowHeight="15" x14ac:dyDescent="0.25"/>
  <cols>
    <col min="1" max="1" width="5.42578125" customWidth="1"/>
    <col min="2" max="2" width="32.28515625" customWidth="1"/>
    <col min="3" max="3" width="14.85546875" customWidth="1"/>
    <col min="4" max="4" width="12.7109375" customWidth="1"/>
    <col min="5" max="5" width="10.5703125" bestFit="1" customWidth="1"/>
    <col min="6" max="6" width="11.5703125" bestFit="1" customWidth="1"/>
    <col min="7" max="7" width="14.140625" customWidth="1"/>
    <col min="8" max="11" width="11.5703125" bestFit="1" customWidth="1"/>
    <col min="12" max="12" width="14.140625" customWidth="1"/>
    <col min="13" max="13" width="11.5703125" bestFit="1" customWidth="1"/>
    <col min="14" max="16" width="13.28515625" bestFit="1" customWidth="1"/>
    <col min="17" max="17" width="12.85546875" bestFit="1" customWidth="1"/>
  </cols>
  <sheetData>
    <row r="2" spans="2:16" ht="17.25" x14ac:dyDescent="0.3">
      <c r="B2" s="9" t="s">
        <v>11</v>
      </c>
    </row>
    <row r="4" spans="2:16" x14ac:dyDescent="0.25">
      <c r="B4" t="s">
        <v>8</v>
      </c>
      <c r="C4" s="10">
        <v>0.3</v>
      </c>
    </row>
    <row r="5" spans="2:16" x14ac:dyDescent="0.25">
      <c r="B5" t="s">
        <v>9</v>
      </c>
      <c r="C5" s="10">
        <v>0.15</v>
      </c>
    </row>
    <row r="6" spans="2:16" x14ac:dyDescent="0.25">
      <c r="B6" t="s">
        <v>10</v>
      </c>
      <c r="C6" s="10">
        <v>0.03</v>
      </c>
    </row>
    <row r="7" spans="2:16" x14ac:dyDescent="0.25">
      <c r="B7" t="s">
        <v>12</v>
      </c>
      <c r="C7" s="10">
        <v>0.3</v>
      </c>
    </row>
    <row r="9" spans="2:16" x14ac:dyDescent="0.25">
      <c r="C9" s="5" t="s">
        <v>0</v>
      </c>
      <c r="D9" s="5"/>
      <c r="E9" s="2"/>
      <c r="F9" s="2"/>
      <c r="G9" s="7" t="s">
        <v>1</v>
      </c>
      <c r="H9" s="7"/>
      <c r="I9" s="7"/>
      <c r="J9" s="7"/>
      <c r="K9" s="7"/>
      <c r="L9" s="8" t="s">
        <v>2</v>
      </c>
      <c r="M9" s="8"/>
      <c r="N9" s="3"/>
      <c r="O9" s="3"/>
      <c r="P9" s="3"/>
    </row>
    <row r="10" spans="2:16" x14ac:dyDescent="0.25">
      <c r="C10" s="6">
        <v>2024</v>
      </c>
      <c r="D10" s="6">
        <v>2025</v>
      </c>
      <c r="E10" s="6">
        <v>2026</v>
      </c>
      <c r="F10" s="6">
        <v>2027</v>
      </c>
      <c r="G10" s="6">
        <v>2028</v>
      </c>
      <c r="H10" s="6">
        <v>2029</v>
      </c>
      <c r="I10" s="6">
        <v>2030</v>
      </c>
      <c r="J10" s="6">
        <v>2031</v>
      </c>
      <c r="K10" s="6">
        <v>2032</v>
      </c>
      <c r="L10" s="6">
        <v>2033</v>
      </c>
      <c r="M10" s="6">
        <v>2034</v>
      </c>
      <c r="N10" s="6">
        <v>2035</v>
      </c>
      <c r="O10" s="6">
        <v>2036</v>
      </c>
      <c r="P10" s="6">
        <v>2037</v>
      </c>
    </row>
    <row r="11" spans="2:16" x14ac:dyDescent="0.25">
      <c r="B11" t="s">
        <v>13</v>
      </c>
      <c r="C11" s="1">
        <v>-20247088</v>
      </c>
      <c r="D11" s="1">
        <v>1469938</v>
      </c>
      <c r="E11" s="1">
        <v>43081733</v>
      </c>
      <c r="F11" s="1">
        <v>189008808</v>
      </c>
    </row>
    <row r="12" spans="2:16" x14ac:dyDescent="0.25">
      <c r="B12" t="s">
        <v>14</v>
      </c>
      <c r="C12" s="1">
        <v>0</v>
      </c>
      <c r="D12" s="1">
        <v>0</v>
      </c>
      <c r="E12" s="1">
        <v>0</v>
      </c>
      <c r="F12" s="1">
        <v>0</v>
      </c>
      <c r="G12" s="1">
        <f>F11*(1+$C4)</f>
        <v>245711450.40000001</v>
      </c>
      <c r="H12" s="1">
        <f>G12*(1+$C4)</f>
        <v>319424885.52000004</v>
      </c>
      <c r="I12" s="1">
        <f>H12*(1+$C4)</f>
        <v>415252351.17600006</v>
      </c>
      <c r="J12" s="1">
        <f>I12*(1+$C4)</f>
        <v>539828056.52880013</v>
      </c>
      <c r="K12" s="1">
        <f>J12*(1+$C4)</f>
        <v>701776473.48744023</v>
      </c>
      <c r="L12" s="1"/>
      <c r="M12" s="1"/>
      <c r="N12" s="1"/>
      <c r="O12" s="1"/>
      <c r="P12" s="1"/>
    </row>
    <row r="13" spans="2:16" x14ac:dyDescent="0.25">
      <c r="B13" t="s">
        <v>16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f>K12*(1+$C5)</f>
        <v>807042944.51055622</v>
      </c>
      <c r="M13" s="1">
        <f>L13*(1+$C5)</f>
        <v>928099386.18713963</v>
      </c>
      <c r="N13" s="1">
        <f>M13*(1+$C5)</f>
        <v>1067314294.1152105</v>
      </c>
      <c r="O13" s="1">
        <f>N13*(1+$C5)</f>
        <v>1227411438.232492</v>
      </c>
      <c r="P13" s="1">
        <f>O13*(1+$C5)</f>
        <v>1411523153.9673657</v>
      </c>
    </row>
    <row r="14" spans="2:16" x14ac:dyDescent="0.25">
      <c r="B14" t="s">
        <v>21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f>(P13*(1+C6))/(C7-C6)</f>
        <v>5384699439.2088394</v>
      </c>
    </row>
    <row r="15" spans="2:16" x14ac:dyDescent="0.2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x14ac:dyDescent="0.25">
      <c r="C16" s="15" t="s">
        <v>17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2:16" x14ac:dyDescent="0.25">
      <c r="B17" t="s">
        <v>18</v>
      </c>
      <c r="C17" s="1">
        <f>NPV(C$7,C11:P11)</f>
        <v>71081686.139841035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2:16" x14ac:dyDescent="0.25">
      <c r="B18" t="s">
        <v>19</v>
      </c>
      <c r="C18" s="1">
        <f>NPV(C$7,C12:P12)</f>
        <v>330886187.45842224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2:16" x14ac:dyDescent="0.25">
      <c r="B19" t="s">
        <v>15</v>
      </c>
      <c r="C19" s="1">
        <f>NPV(C$7,C13:P13)</f>
        <v>232513937.94215858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2:16" x14ac:dyDescent="0.25">
      <c r="B20" s="6" t="s">
        <v>6</v>
      </c>
      <c r="C20" s="11">
        <f>NPV(C$7,C14:P14)</f>
        <v>136758564.88514236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2:16" x14ac:dyDescent="0.25">
      <c r="B21" s="15" t="s">
        <v>20</v>
      </c>
      <c r="C21" s="16">
        <f>SUM(C17:C20)</f>
        <v>771240376.42556417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2:16" x14ac:dyDescent="0.25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2:16" x14ac:dyDescent="0.25">
      <c r="C23" s="14"/>
    </row>
    <row r="24" spans="2:16" x14ac:dyDescent="0.25">
      <c r="B24" t="s">
        <v>3</v>
      </c>
      <c r="C24" s="1">
        <v>14339550</v>
      </c>
    </row>
    <row r="25" spans="2:16" x14ac:dyDescent="0.25">
      <c r="B25" s="6" t="s">
        <v>4</v>
      </c>
      <c r="C25" s="11">
        <v>700000</v>
      </c>
    </row>
    <row r="26" spans="2:16" x14ac:dyDescent="0.25">
      <c r="B26" t="s">
        <v>5</v>
      </c>
      <c r="C26" s="4">
        <f>C24+C25</f>
        <v>15039550</v>
      </c>
    </row>
    <row r="27" spans="2:16" x14ac:dyDescent="0.25">
      <c r="B27" s="12" t="s">
        <v>7</v>
      </c>
      <c r="C27" s="13">
        <f>C21/C$26</f>
        <v>51.280814680330472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Kammer Adrian (kama)</dc:creator>
  <cp:lastModifiedBy>Kammer Adrian (kama)</cp:lastModifiedBy>
  <dcterms:created xsi:type="dcterms:W3CDTF">2015-06-05T18:19:34Z</dcterms:created>
  <dcterms:modified xsi:type="dcterms:W3CDTF">2026-05-07T08:41:57Z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2023-05-05T08:15:28Z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838b00ca-456b-4c3a-b0c7-fd1cca0a0353</vt:lpwstr>
  </property>
  <property fmtid="{D5CDD505-2E9C-101B-9397-08002B2CF9AE}" pid="8" name="MSIP_Label_10d9bad3-6dac-4e9a-89a3-89f3b8d247b2_ContentBits">
    <vt:lpwstr>0</vt:lpwstr>
  </property>
</Properties>
</file>